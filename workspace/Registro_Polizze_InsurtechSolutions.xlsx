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olizze" sheetId="1" state="visible" r:id="rId3"/>
    <sheet name="Dashboard" sheetId="2" state="visible" r:id="rId4"/>
  </sheets>
  <definedNames>
    <definedName function="false" hidden="true" localSheetId="0" name="_xlnm._FilterDatabase" vbProcedure="false">'Registro Polizze'!$A$1:$R$16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<sst xmlns="http://schemas.openxmlformats.org/spreadsheetml/2006/main" count="220" uniqueCount="141">
  <si>
    <t xml:space="preserve">N. Polizza</t>
  </si>
  <si>
    <t xml:space="preserve">Data Emissione</t>
  </si>
  <si>
    <t xml:space="preserve">Data Scadenza</t>
  </si>
  <si>
    <t xml:space="preserve">Stato</t>
  </si>
  <si>
    <t xml:space="preserve">Tipo Cauzione</t>
  </si>
  <si>
    <t xml:space="preserve">Contraente</t>
  </si>
  <si>
    <t xml:space="preserve">P.IVA Contraente</t>
  </si>
  <si>
    <t xml:space="preserve">Beneficiario / Stazione Appaltante</t>
  </si>
  <si>
    <t xml:space="preserve">CIG</t>
  </si>
  <si>
    <t xml:space="preserve">Importo Garantito (€)</t>
  </si>
  <si>
    <t xml:space="preserve">Premio (€)</t>
  </si>
  <si>
    <t xml:space="preserve">Diritti (€)</t>
  </si>
  <si>
    <t xml:space="preserve">Imposte (€)</t>
  </si>
  <si>
    <t xml:space="preserve">Totale Dovuto (€)</t>
  </si>
  <si>
    <t xml:space="preserve">Stato Pagamento</t>
  </si>
  <si>
    <t xml:space="preserve">Broker / Intermediario</t>
  </si>
  <si>
    <t xml:space="preserve">Compagnia Assicuratrice</t>
  </si>
  <si>
    <t xml:space="preserve">Note</t>
  </si>
  <si>
    <t xml:space="preserve">POL-2025-0001</t>
  </si>
  <si>
    <t xml:space="preserve">Attiva</t>
  </si>
  <si>
    <t xml:space="preserve">Definitiva</t>
  </si>
  <si>
    <t xml:space="preserve">Costruzioni Rossi S.r.l.</t>
  </si>
  <si>
    <t xml:space="preserve">01234567890</t>
  </si>
  <si>
    <t xml:space="preserve">Comune di Milano — Settore Lavori Pubblici</t>
  </si>
  <si>
    <t xml:space="preserve">A0123456B1</t>
  </si>
  <si>
    <t xml:space="preserve">Pagato</t>
  </si>
  <si>
    <t xml:space="preserve">Marsh S.p.A.</t>
  </si>
  <si>
    <t xml:space="preserve">Atradius Credit Insurance</t>
  </si>
  <si>
    <t xml:space="preserve">Appalto manutenzione stradale</t>
  </si>
  <si>
    <t xml:space="preserve">POL-2025-0002</t>
  </si>
  <si>
    <t xml:space="preserve">Provvisoria</t>
  </si>
  <si>
    <t xml:space="preserve">Edilizia Bianchi &amp; C. S.a.s.</t>
  </si>
  <si>
    <t xml:space="preserve">09876543210</t>
  </si>
  <si>
    <t xml:space="preserve">ASL Roma 1</t>
  </si>
  <si>
    <t xml:space="preserve">B9876543C2</t>
  </si>
  <si>
    <t xml:space="preserve">AON S.p.A.</t>
  </si>
  <si>
    <t xml:space="preserve">Coface</t>
  </si>
  <si>
    <t xml:space="preserve">Gara forniture sanitarie</t>
  </si>
  <si>
    <t xml:space="preserve">POL-2025-0003</t>
  </si>
  <si>
    <t xml:space="preserve">Cooperativa Edile Aurora</t>
  </si>
  <si>
    <t xml:space="preserve">11223344556</t>
  </si>
  <si>
    <t xml:space="preserve">Ministero delle Infrastrutture e dei Trasporti</t>
  </si>
  <si>
    <t xml:space="preserve">C1122334D3</t>
  </si>
  <si>
    <t xml:space="preserve">Willis Towers Watson</t>
  </si>
  <si>
    <t xml:space="preserve">Euler Hermes</t>
  </si>
  <si>
    <t xml:space="preserve">Lavori di ampliamento autostradale</t>
  </si>
  <si>
    <t xml:space="preserve">POL-2025-0004</t>
  </si>
  <si>
    <t xml:space="preserve">Anticipazione</t>
  </si>
  <si>
    <t xml:space="preserve">Impresa Tecnica Gamma S.r.l.</t>
  </si>
  <si>
    <t xml:space="preserve">22334455667</t>
  </si>
  <si>
    <t xml:space="preserve">Comune di Torino</t>
  </si>
  <si>
    <t xml:space="preserve">D2233445E4</t>
  </si>
  <si>
    <t xml:space="preserve">In Attesa</t>
  </si>
  <si>
    <t xml:space="preserve">Howden Italia</t>
  </si>
  <si>
    <t xml:space="preserve">Anticipazione 20% su lavori edili</t>
  </si>
  <si>
    <t xml:space="preserve">POL-2025-0005</t>
  </si>
  <si>
    <t xml:space="preserve">Servizi Integrati Delta S.p.A.</t>
  </si>
  <si>
    <t xml:space="preserve">33445566778</t>
  </si>
  <si>
    <t xml:space="preserve">Agenzia del Demanio</t>
  </si>
  <si>
    <t xml:space="preserve">E3344556F5</t>
  </si>
  <si>
    <t xml:space="preserve">Servizi di facility management</t>
  </si>
  <si>
    <t xml:space="preserve">POL-2025-0006</t>
  </si>
  <si>
    <t xml:space="preserve">Fratelli Moretti Costruzioni S.r.l.</t>
  </si>
  <si>
    <t xml:space="preserve">44556677889</t>
  </si>
  <si>
    <t xml:space="preserve">Comune di Napoli — Ufficio Gare</t>
  </si>
  <si>
    <t xml:space="preserve">F4455667G6</t>
  </si>
  <si>
    <t xml:space="preserve">Gara ristrutturazione scuola primaria</t>
  </si>
  <si>
    <t xml:space="preserve">POL-2024-0087</t>
  </si>
  <si>
    <t xml:space="preserve">Scaduta</t>
  </si>
  <si>
    <t xml:space="preserve">Società Appalti Riuniti S.c.a r.l.</t>
  </si>
  <si>
    <t xml:space="preserve">55667788990</t>
  </si>
  <si>
    <t xml:space="preserve">Provincia di Brescia</t>
  </si>
  <si>
    <t xml:space="preserve">G5566778H7</t>
  </si>
  <si>
    <t xml:space="preserve">Gara conclusa — svincolo effettuato</t>
  </si>
  <si>
    <t xml:space="preserve">POL-2025-0007</t>
  </si>
  <si>
    <t xml:space="preserve">Green Building Italia S.r.l.</t>
  </si>
  <si>
    <t xml:space="preserve">66778899001</t>
  </si>
  <si>
    <t xml:space="preserve">ANAS S.p.A.</t>
  </si>
  <si>
    <t xml:space="preserve">H6677889I8</t>
  </si>
  <si>
    <t xml:space="preserve">Lavori di bonifica ambientale — ISO 14001</t>
  </si>
  <si>
    <t xml:space="preserve">POL-2024-0092</t>
  </si>
  <si>
    <t xml:space="preserve">Elettroimpianti Sigma S.r.l.</t>
  </si>
  <si>
    <t xml:space="preserve">77889900112</t>
  </si>
  <si>
    <t xml:space="preserve">ASL Toscana Centro</t>
  </si>
  <si>
    <t xml:space="preserve">I7788990J9</t>
  </si>
  <si>
    <t xml:space="preserve">Non aggiudicata</t>
  </si>
  <si>
    <t xml:space="preserve">POL-2025-0008</t>
  </si>
  <si>
    <t xml:space="preserve">Svincolo Progressivo</t>
  </si>
  <si>
    <t xml:space="preserve">Infrastrutture Lombarde S.r.l.</t>
  </si>
  <si>
    <t xml:space="preserve">88990011223</t>
  </si>
  <si>
    <t xml:space="preserve">Regione Lombardia — Direzione Lavori Pubblici</t>
  </si>
  <si>
    <t xml:space="preserve">J8899001K0</t>
  </si>
  <si>
    <t xml:space="preserve">Svincolo 25% al SAL 50%</t>
  </si>
  <si>
    <t xml:space="preserve">POL-2025-0009</t>
  </si>
  <si>
    <t xml:space="preserve">Commerciale</t>
  </si>
  <si>
    <t xml:space="preserve">Forniture Medicali Omega S.r.l.</t>
  </si>
  <si>
    <t xml:space="preserve">99001122334</t>
  </si>
  <si>
    <t xml:space="preserve">Ospedale San Raffaele</t>
  </si>
  <si>
    <t xml:space="preserve">Garanzia fornitura apparecchiature</t>
  </si>
  <si>
    <t xml:space="preserve">POL-2024-0095</t>
  </si>
  <si>
    <t xml:space="preserve">Lavori Pubblici Meridionali S.r.l.</t>
  </si>
  <si>
    <t xml:space="preserve">00112233445</t>
  </si>
  <si>
    <t xml:space="preserve">Comune di Bari</t>
  </si>
  <si>
    <t xml:space="preserve">K0011223L1</t>
  </si>
  <si>
    <t xml:space="preserve">Contratto completato</t>
  </si>
  <si>
    <t xml:space="preserve">POL-2025-0010</t>
  </si>
  <si>
    <t xml:space="preserve">In Rinnovo</t>
  </si>
  <si>
    <t xml:space="preserve">Consorzio Stabile Edilizia Sud</t>
  </si>
  <si>
    <t xml:space="preserve">11223300556</t>
  </si>
  <si>
    <t xml:space="preserve">Autorità Portuale di Genova</t>
  </si>
  <si>
    <t xml:space="preserve">L1122330M2</t>
  </si>
  <si>
    <t xml:space="preserve">In attesa rinnovo annuale</t>
  </si>
  <si>
    <t xml:space="preserve">POL-2025-0011</t>
  </si>
  <si>
    <t xml:space="preserve">Immobiliare</t>
  </si>
  <si>
    <t xml:space="preserve">Immobiliare Sole Nascente S.r.l.</t>
  </si>
  <si>
    <t xml:space="preserve">22334411667</t>
  </si>
  <si>
    <t xml:space="preserve">Acquirenti unità abitative — Complesso Residenza Parco</t>
  </si>
  <si>
    <t xml:space="preserve">Fideiussione D.Lgs 122/2005 — acconti su immobili</t>
  </si>
  <si>
    <t xml:space="preserve">POL-2025-0012</t>
  </si>
  <si>
    <t xml:space="preserve">Rata di Saldo</t>
  </si>
  <si>
    <t xml:space="preserve">Strade &amp; Ponti Engineering S.r.l.</t>
  </si>
  <si>
    <t xml:space="preserve">33445522778</t>
  </si>
  <si>
    <t xml:space="preserve">Comune di Firenze — Direzione Mobilità</t>
  </si>
  <si>
    <t xml:space="preserve">M3344552N3</t>
  </si>
  <si>
    <t xml:space="preserve">Scaduto</t>
  </si>
  <si>
    <t xml:space="preserve">Rata di saldo 5% — sollecito inviato</t>
  </si>
  <si>
    <t xml:space="preserve">INSURTECH SOLUTIONS — DASHBOARD REGISTRO POLIZZE</t>
  </si>
  <si>
    <t xml:space="preserve">Riepilogo automatico dal foglio Registro Polizze</t>
  </si>
  <si>
    <t xml:space="preserve">POLIZZE ATTIVE</t>
  </si>
  <si>
    <t xml:space="preserve">IMPORTO GARANTITO TOTALE</t>
  </si>
  <si>
    <t xml:space="preserve">PREMI TOTALI (TUTTE)</t>
  </si>
  <si>
    <t xml:space="preserve">TOTALE DOVUTO (TUTTE)</t>
  </si>
  <si>
    <t xml:space="preserve">Ripartizione per Tipo Cauzione</t>
  </si>
  <si>
    <t xml:space="preserve">N. Polizze</t>
  </si>
  <si>
    <t xml:space="preserve">Premi (€)</t>
  </si>
  <si>
    <t xml:space="preserve">TOTALE</t>
  </si>
  <si>
    <t xml:space="preserve">Ripartizione per Stato Polizza</t>
  </si>
  <si>
    <t xml:space="preserve">Annullata</t>
  </si>
  <si>
    <t xml:space="preserve">Escussa</t>
  </si>
  <si>
    <t xml:space="preserve">Ripartizione per Stato Pagamento</t>
  </si>
  <si>
    <t xml:space="preserve">% sul Totale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</si>
</sst>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&quot; €&quot;"/>
    <numFmt numFmtId="167" formatCode="General"/>
    <numFmt numFmtId="168" formatCode="#,##0&quot; €&quot;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sz val="10"/>
      <color rgb="FF718096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6"/>
      <color rgb="FFDD6B2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0F4FA"/>
        <bgColor rgb="FFEBF8FF"/>
      </patternFill>
    </fill>
    <fill>
      <patternFill patternType="solid">
        <fgColor rgb="FFFFFFFF"/>
        <bgColor rgb="FFF7FAFC"/>
      </patternFill>
    </fill>
    <fill>
      <patternFill patternType="solid">
        <fgColor rgb="FFEBF8FF"/>
        <bgColor rgb="FFF0F4FA"/>
      </patternFill>
    </fill>
    <fill>
      <patternFill patternType="solid">
        <fgColor rgb="FFF7FA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D6B20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 style="thin">
        <color rgb="FF2B6CB0"/>
      </left>
      <right style="thin">
        <color rgb="FF2B6CB0"/>
      </right>
      <top style="thin">
        <color rgb="FF2B6CB0"/>
      </top>
      <bottom/>
      <diagonal/>
    </border>
    <border diagonalUp="false" diagonalDown="false">
      <left style="thin">
        <color rgb="FF2B6CB0"/>
      </left>
      <right style="thin">
        <color rgb="FF2B6CB0"/>
      </right>
      <top/>
      <bottom style="thin">
        <color rgb="FF2B6C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0F4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EBF8FF"/>
      <rgbColor rgb="FF660066"/>
      <rgbColor rgb="FFFF8080"/>
      <rgbColor rgb="FF2B6CB0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D6B2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35"/>
    <col collapsed="false" customWidth="true" hidden="false" outlineLevel="0" max="7" min="7" style="0" width="17"/>
    <col collapsed="false" customWidth="true" hidden="false" outlineLevel="0" max="8" min="8" style="0" width="45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4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n">
        <v>45672</v>
      </c>
      <c r="C2" s="3" t="n">
        <v>46036</v>
      </c>
      <c r="D2" s="2" t="s">
        <v>19</v>
      </c>
      <c r="E2" s="2" t="s">
        <v>20</v>
      </c>
      <c r="F2" s="4" t="s">
        <v>21</v>
      </c>
      <c r="G2" s="4" t="s">
        <v>22</v>
      </c>
      <c r="H2" s="4" t="s">
        <v>23</v>
      </c>
      <c r="I2" s="2" t="s">
        <v>24</v>
      </c>
      <c r="J2" s="5" t="n">
        <v>165000</v>
      </c>
      <c r="K2" s="5" t="n">
        <v>1980</v>
      </c>
      <c r="L2" s="5" t="n">
        <v>50</v>
      </c>
      <c r="M2" s="5" t="n">
        <v>49.5</v>
      </c>
      <c r="N2" s="6" t="n">
        <f aca="false">K2+L2+M2</f>
        <v>2079.5</v>
      </c>
      <c r="O2" s="2" t="s">
        <v>25</v>
      </c>
      <c r="P2" s="4" t="s">
        <v>26</v>
      </c>
      <c r="Q2" s="4" t="s">
        <v>27</v>
      </c>
      <c r="R2" s="4" t="s">
        <v>28</v>
      </c>
    </row>
    <row r="3" customFormat="false" ht="15" hidden="false" customHeight="false" outlineLevel="0" collapsed="false">
      <c r="A3" s="7" t="s">
        <v>29</v>
      </c>
      <c r="B3" s="8" t="n">
        <v>45679</v>
      </c>
      <c r="C3" s="8" t="n">
        <v>45859</v>
      </c>
      <c r="D3" s="7" t="s">
        <v>19</v>
      </c>
      <c r="E3" s="7" t="s">
        <v>30</v>
      </c>
      <c r="F3" s="9" t="s">
        <v>31</v>
      </c>
      <c r="G3" s="9" t="s">
        <v>32</v>
      </c>
      <c r="H3" s="9" t="s">
        <v>33</v>
      </c>
      <c r="I3" s="7" t="s">
        <v>34</v>
      </c>
      <c r="J3" s="10" t="n">
        <v>30000</v>
      </c>
      <c r="K3" s="10" t="n">
        <v>360</v>
      </c>
      <c r="L3" s="10" t="n">
        <v>50</v>
      </c>
      <c r="M3" s="10" t="n">
        <v>9</v>
      </c>
      <c r="N3" s="11" t="n">
        <f aca="false">K3+L3+M3</f>
        <v>419</v>
      </c>
      <c r="O3" s="7" t="s">
        <v>25</v>
      </c>
      <c r="P3" s="9" t="s">
        <v>35</v>
      </c>
      <c r="Q3" s="9" t="s">
        <v>36</v>
      </c>
      <c r="R3" s="9" t="s">
        <v>37</v>
      </c>
    </row>
    <row r="4" customFormat="false" ht="15" hidden="false" customHeight="false" outlineLevel="0" collapsed="false">
      <c r="A4" s="2" t="s">
        <v>38</v>
      </c>
      <c r="B4" s="3" t="n">
        <v>45691</v>
      </c>
      <c r="C4" s="3" t="n">
        <v>46420</v>
      </c>
      <c r="D4" s="2" t="s">
        <v>19</v>
      </c>
      <c r="E4" s="2" t="s">
        <v>20</v>
      </c>
      <c r="F4" s="4" t="s">
        <v>39</v>
      </c>
      <c r="G4" s="4" t="s">
        <v>40</v>
      </c>
      <c r="H4" s="4" t="s">
        <v>41</v>
      </c>
      <c r="I4" s="2" t="s">
        <v>42</v>
      </c>
      <c r="J4" s="5" t="n">
        <v>450000</v>
      </c>
      <c r="K4" s="5" t="n">
        <v>10800</v>
      </c>
      <c r="L4" s="5" t="n">
        <v>50</v>
      </c>
      <c r="M4" s="5" t="n">
        <v>270</v>
      </c>
      <c r="N4" s="6" t="n">
        <f aca="false">K4+L4+M4</f>
        <v>11120</v>
      </c>
      <c r="O4" s="2" t="s">
        <v>25</v>
      </c>
      <c r="P4" s="4" t="s">
        <v>43</v>
      </c>
      <c r="Q4" s="4" t="s">
        <v>44</v>
      </c>
      <c r="R4" s="4" t="s">
        <v>45</v>
      </c>
    </row>
    <row r="5" customFormat="false" ht="15" hidden="false" customHeight="false" outlineLevel="0" collapsed="false">
      <c r="A5" s="7" t="s">
        <v>46</v>
      </c>
      <c r="B5" s="8" t="n">
        <v>45698</v>
      </c>
      <c r="C5" s="8" t="n">
        <v>45878</v>
      </c>
      <c r="D5" s="7" t="s">
        <v>19</v>
      </c>
      <c r="E5" s="7" t="s">
        <v>47</v>
      </c>
      <c r="F5" s="9" t="s">
        <v>48</v>
      </c>
      <c r="G5" s="9" t="s">
        <v>49</v>
      </c>
      <c r="H5" s="9" t="s">
        <v>50</v>
      </c>
      <c r="I5" s="7" t="s">
        <v>51</v>
      </c>
      <c r="J5" s="10" t="n">
        <v>200000</v>
      </c>
      <c r="K5" s="10" t="n">
        <v>3600</v>
      </c>
      <c r="L5" s="10" t="n">
        <v>50</v>
      </c>
      <c r="M5" s="10" t="n">
        <v>90</v>
      </c>
      <c r="N5" s="11" t="n">
        <f aca="false">K5+L5+M5</f>
        <v>3740</v>
      </c>
      <c r="O5" s="7" t="s">
        <v>52</v>
      </c>
      <c r="P5" s="9" t="s">
        <v>53</v>
      </c>
      <c r="Q5" s="9" t="s">
        <v>27</v>
      </c>
      <c r="R5" s="9" t="s">
        <v>54</v>
      </c>
    </row>
    <row r="6" customFormat="false" ht="15" hidden="false" customHeight="false" outlineLevel="0" collapsed="false">
      <c r="A6" s="2" t="s">
        <v>55</v>
      </c>
      <c r="B6" s="3" t="n">
        <v>45706</v>
      </c>
      <c r="C6" s="3" t="n">
        <v>46251</v>
      </c>
      <c r="D6" s="2" t="s">
        <v>19</v>
      </c>
      <c r="E6" s="2" t="s">
        <v>20</v>
      </c>
      <c r="F6" s="4" t="s">
        <v>56</v>
      </c>
      <c r="G6" s="4" t="s">
        <v>57</v>
      </c>
      <c r="H6" s="4" t="s">
        <v>58</v>
      </c>
      <c r="I6" s="2" t="s">
        <v>59</v>
      </c>
      <c r="J6" s="5" t="n">
        <v>95000</v>
      </c>
      <c r="K6" s="5" t="n">
        <v>1710</v>
      </c>
      <c r="L6" s="5" t="n">
        <v>50</v>
      </c>
      <c r="M6" s="5" t="n">
        <v>42.75</v>
      </c>
      <c r="N6" s="6" t="n">
        <f aca="false">K6+L6+M6</f>
        <v>1802.75</v>
      </c>
      <c r="O6" s="2" t="s">
        <v>25</v>
      </c>
      <c r="P6" s="4" t="s">
        <v>26</v>
      </c>
      <c r="Q6" s="4" t="s">
        <v>36</v>
      </c>
      <c r="R6" s="4" t="s">
        <v>60</v>
      </c>
    </row>
    <row r="7" customFormat="false" ht="15" hidden="false" customHeight="false" outlineLevel="0" collapsed="false">
      <c r="A7" s="7" t="s">
        <v>61</v>
      </c>
      <c r="B7" s="8" t="n">
        <v>45717</v>
      </c>
      <c r="C7" s="8" t="n">
        <v>45901</v>
      </c>
      <c r="D7" s="7" t="s">
        <v>19</v>
      </c>
      <c r="E7" s="7" t="s">
        <v>30</v>
      </c>
      <c r="F7" s="9" t="s">
        <v>62</v>
      </c>
      <c r="G7" s="9" t="s">
        <v>63</v>
      </c>
      <c r="H7" s="9" t="s">
        <v>64</v>
      </c>
      <c r="I7" s="7" t="s">
        <v>65</v>
      </c>
      <c r="J7" s="10" t="n">
        <v>50000</v>
      </c>
      <c r="K7" s="10" t="n">
        <v>600</v>
      </c>
      <c r="L7" s="10" t="n">
        <v>50</v>
      </c>
      <c r="M7" s="10" t="n">
        <v>15</v>
      </c>
      <c r="N7" s="11" t="n">
        <f aca="false">K7+L7+M7</f>
        <v>665</v>
      </c>
      <c r="O7" s="7" t="s">
        <v>25</v>
      </c>
      <c r="P7" s="9" t="s">
        <v>35</v>
      </c>
      <c r="Q7" s="9" t="s">
        <v>44</v>
      </c>
      <c r="R7" s="9" t="s">
        <v>66</v>
      </c>
    </row>
    <row r="8" customFormat="false" ht="15" hidden="false" customHeight="false" outlineLevel="0" collapsed="false">
      <c r="A8" s="2" t="s">
        <v>67</v>
      </c>
      <c r="B8" s="3" t="n">
        <v>45458</v>
      </c>
      <c r="C8" s="3" t="n">
        <v>45667</v>
      </c>
      <c r="D8" s="2" t="s">
        <v>68</v>
      </c>
      <c r="E8" s="2" t="s">
        <v>30</v>
      </c>
      <c r="F8" s="4" t="s">
        <v>69</v>
      </c>
      <c r="G8" s="4" t="s">
        <v>70</v>
      </c>
      <c r="H8" s="4" t="s">
        <v>71</v>
      </c>
      <c r="I8" s="2" t="s">
        <v>72</v>
      </c>
      <c r="J8" s="5" t="n">
        <v>40000</v>
      </c>
      <c r="K8" s="5" t="n">
        <v>480</v>
      </c>
      <c r="L8" s="5" t="n">
        <v>50</v>
      </c>
      <c r="M8" s="5" t="n">
        <v>12</v>
      </c>
      <c r="N8" s="6" t="n">
        <f aca="false">K8+L8+M8</f>
        <v>542</v>
      </c>
      <c r="O8" s="2" t="s">
        <v>25</v>
      </c>
      <c r="P8" s="4" t="s">
        <v>43</v>
      </c>
      <c r="Q8" s="4" t="s">
        <v>27</v>
      </c>
      <c r="R8" s="4" t="s">
        <v>73</v>
      </c>
    </row>
    <row r="9" customFormat="false" ht="15" hidden="false" customHeight="false" outlineLevel="0" collapsed="false">
      <c r="A9" s="7" t="s">
        <v>74</v>
      </c>
      <c r="B9" s="8" t="n">
        <v>45726</v>
      </c>
      <c r="C9" s="8" t="n">
        <v>46274</v>
      </c>
      <c r="D9" s="7" t="s">
        <v>19</v>
      </c>
      <c r="E9" s="7" t="s">
        <v>20</v>
      </c>
      <c r="F9" s="9" t="s">
        <v>75</v>
      </c>
      <c r="G9" s="9" t="s">
        <v>76</v>
      </c>
      <c r="H9" s="9" t="s">
        <v>77</v>
      </c>
      <c r="I9" s="7" t="s">
        <v>78</v>
      </c>
      <c r="J9" s="10" t="n">
        <v>320000</v>
      </c>
      <c r="K9" s="10" t="n">
        <v>7680</v>
      </c>
      <c r="L9" s="10" t="n">
        <v>50</v>
      </c>
      <c r="M9" s="10" t="n">
        <v>192</v>
      </c>
      <c r="N9" s="11" t="n">
        <f aca="false">K9+L9+M9</f>
        <v>7922</v>
      </c>
      <c r="O9" s="7" t="s">
        <v>25</v>
      </c>
      <c r="P9" s="9" t="s">
        <v>53</v>
      </c>
      <c r="Q9" s="9" t="s">
        <v>36</v>
      </c>
      <c r="R9" s="9" t="s">
        <v>79</v>
      </c>
    </row>
    <row r="10" customFormat="false" ht="15" hidden="false" customHeight="false" outlineLevel="0" collapsed="false">
      <c r="A10" s="2" t="s">
        <v>80</v>
      </c>
      <c r="B10" s="3" t="n">
        <v>45536</v>
      </c>
      <c r="C10" s="3" t="n">
        <v>45717</v>
      </c>
      <c r="D10" s="2" t="s">
        <v>68</v>
      </c>
      <c r="E10" s="2" t="s">
        <v>30</v>
      </c>
      <c r="F10" s="4" t="s">
        <v>81</v>
      </c>
      <c r="G10" s="4" t="s">
        <v>82</v>
      </c>
      <c r="H10" s="4" t="s">
        <v>83</v>
      </c>
      <c r="I10" s="2" t="s">
        <v>84</v>
      </c>
      <c r="J10" s="5" t="n">
        <v>20000</v>
      </c>
      <c r="K10" s="5" t="n">
        <v>240</v>
      </c>
      <c r="L10" s="5" t="n">
        <v>50</v>
      </c>
      <c r="M10" s="5" t="n">
        <v>6</v>
      </c>
      <c r="N10" s="6" t="n">
        <f aca="false">K10+L10+M10</f>
        <v>296</v>
      </c>
      <c r="O10" s="2" t="s">
        <v>25</v>
      </c>
      <c r="P10" s="4" t="s">
        <v>26</v>
      </c>
      <c r="Q10" s="4" t="s">
        <v>44</v>
      </c>
      <c r="R10" s="4" t="s">
        <v>85</v>
      </c>
    </row>
    <row r="11" customFormat="false" ht="15" hidden="false" customHeight="false" outlineLevel="0" collapsed="false">
      <c r="A11" s="7" t="s">
        <v>86</v>
      </c>
      <c r="B11" s="8" t="n">
        <v>45736</v>
      </c>
      <c r="C11" s="8" t="n">
        <v>46465</v>
      </c>
      <c r="D11" s="7" t="s">
        <v>19</v>
      </c>
      <c r="E11" s="7" t="s">
        <v>87</v>
      </c>
      <c r="F11" s="9" t="s">
        <v>88</v>
      </c>
      <c r="G11" s="9" t="s">
        <v>89</v>
      </c>
      <c r="H11" s="9" t="s">
        <v>90</v>
      </c>
      <c r="I11" s="7" t="s">
        <v>91</v>
      </c>
      <c r="J11" s="10" t="n">
        <v>280000</v>
      </c>
      <c r="K11" s="10" t="n">
        <v>6720</v>
      </c>
      <c r="L11" s="10" t="n">
        <v>50</v>
      </c>
      <c r="M11" s="10" t="n">
        <v>168</v>
      </c>
      <c r="N11" s="11" t="n">
        <f aca="false">K11+L11+M11</f>
        <v>6938</v>
      </c>
      <c r="O11" s="7" t="s">
        <v>25</v>
      </c>
      <c r="P11" s="9" t="s">
        <v>35</v>
      </c>
      <c r="Q11" s="9" t="s">
        <v>27</v>
      </c>
      <c r="R11" s="9" t="s">
        <v>92</v>
      </c>
    </row>
    <row r="12" customFormat="false" ht="15" hidden="false" customHeight="false" outlineLevel="0" collapsed="false">
      <c r="A12" s="2" t="s">
        <v>93</v>
      </c>
      <c r="B12" s="3" t="n">
        <v>45748</v>
      </c>
      <c r="C12" s="3" t="n">
        <v>46113</v>
      </c>
      <c r="D12" s="2" t="s">
        <v>19</v>
      </c>
      <c r="E12" s="2" t="s">
        <v>94</v>
      </c>
      <c r="F12" s="4" t="s">
        <v>95</v>
      </c>
      <c r="G12" s="4" t="s">
        <v>96</v>
      </c>
      <c r="H12" s="4" t="s">
        <v>97</v>
      </c>
      <c r="I12" s="2"/>
      <c r="J12" s="5" t="n">
        <v>150000</v>
      </c>
      <c r="K12" s="5" t="n">
        <v>2700</v>
      </c>
      <c r="L12" s="5" t="n">
        <v>50</v>
      </c>
      <c r="M12" s="5" t="n">
        <v>67.5</v>
      </c>
      <c r="N12" s="6" t="n">
        <f aca="false">K12+L12+M12</f>
        <v>2817.5</v>
      </c>
      <c r="O12" s="2" t="s">
        <v>52</v>
      </c>
      <c r="P12" s="4" t="s">
        <v>43</v>
      </c>
      <c r="Q12" s="4" t="s">
        <v>36</v>
      </c>
      <c r="R12" s="4" t="s">
        <v>98</v>
      </c>
    </row>
    <row r="13" customFormat="false" ht="15" hidden="false" customHeight="false" outlineLevel="0" collapsed="false">
      <c r="A13" s="7" t="s">
        <v>99</v>
      </c>
      <c r="B13" s="8" t="n">
        <v>45570</v>
      </c>
      <c r="C13" s="8" t="n">
        <v>45752</v>
      </c>
      <c r="D13" s="7" t="s">
        <v>68</v>
      </c>
      <c r="E13" s="7" t="s">
        <v>20</v>
      </c>
      <c r="F13" s="9" t="s">
        <v>100</v>
      </c>
      <c r="G13" s="9" t="s">
        <v>101</v>
      </c>
      <c r="H13" s="9" t="s">
        <v>102</v>
      </c>
      <c r="I13" s="7" t="s">
        <v>103</v>
      </c>
      <c r="J13" s="10" t="n">
        <v>180000</v>
      </c>
      <c r="K13" s="10" t="n">
        <v>4320</v>
      </c>
      <c r="L13" s="10" t="n">
        <v>50</v>
      </c>
      <c r="M13" s="10" t="n">
        <v>108</v>
      </c>
      <c r="N13" s="11" t="n">
        <f aca="false">K13+L13+M13</f>
        <v>4478</v>
      </c>
      <c r="O13" s="7" t="s">
        <v>25</v>
      </c>
      <c r="P13" s="9" t="s">
        <v>53</v>
      </c>
      <c r="Q13" s="9" t="s">
        <v>44</v>
      </c>
      <c r="R13" s="9" t="s">
        <v>104</v>
      </c>
    </row>
    <row r="14" customFormat="false" ht="15" hidden="false" customHeight="false" outlineLevel="0" collapsed="false">
      <c r="A14" s="2" t="s">
        <v>105</v>
      </c>
      <c r="B14" s="3" t="n">
        <v>45757</v>
      </c>
      <c r="C14" s="3" t="n">
        <v>46669</v>
      </c>
      <c r="D14" s="2" t="s">
        <v>106</v>
      </c>
      <c r="E14" s="2" t="s">
        <v>20</v>
      </c>
      <c r="F14" s="4" t="s">
        <v>107</v>
      </c>
      <c r="G14" s="4" t="s">
        <v>108</v>
      </c>
      <c r="H14" s="4" t="s">
        <v>109</v>
      </c>
      <c r="I14" s="2" t="s">
        <v>110</v>
      </c>
      <c r="J14" s="5" t="n">
        <v>520000</v>
      </c>
      <c r="K14" s="5" t="n">
        <v>12480</v>
      </c>
      <c r="L14" s="5" t="n">
        <v>50</v>
      </c>
      <c r="M14" s="5" t="n">
        <v>312</v>
      </c>
      <c r="N14" s="6" t="n">
        <f aca="false">K14+L14+M14</f>
        <v>12842</v>
      </c>
      <c r="O14" s="2" t="s">
        <v>52</v>
      </c>
      <c r="P14" s="4" t="s">
        <v>26</v>
      </c>
      <c r="Q14" s="4" t="s">
        <v>27</v>
      </c>
      <c r="R14" s="4" t="s">
        <v>111</v>
      </c>
    </row>
    <row r="15" customFormat="false" ht="15" hidden="false" customHeight="false" outlineLevel="0" collapsed="false">
      <c r="A15" s="7" t="s">
        <v>112</v>
      </c>
      <c r="B15" s="8" t="n">
        <v>45762</v>
      </c>
      <c r="C15" s="8" t="n">
        <v>46309</v>
      </c>
      <c r="D15" s="7" t="s">
        <v>19</v>
      </c>
      <c r="E15" s="7" t="s">
        <v>113</v>
      </c>
      <c r="F15" s="9" t="s">
        <v>114</v>
      </c>
      <c r="G15" s="9" t="s">
        <v>115</v>
      </c>
      <c r="H15" s="9" t="s">
        <v>116</v>
      </c>
      <c r="I15" s="7"/>
      <c r="J15" s="10" t="n">
        <v>1200000</v>
      </c>
      <c r="K15" s="10" t="n">
        <v>14400</v>
      </c>
      <c r="L15" s="10" t="n">
        <v>50</v>
      </c>
      <c r="M15" s="10" t="n">
        <v>360</v>
      </c>
      <c r="N15" s="11" t="n">
        <f aca="false">K15+L15+M15</f>
        <v>14810</v>
      </c>
      <c r="O15" s="7" t="s">
        <v>25</v>
      </c>
      <c r="P15" s="9" t="s">
        <v>35</v>
      </c>
      <c r="Q15" s="9" t="s">
        <v>44</v>
      </c>
      <c r="R15" s="9" t="s">
        <v>117</v>
      </c>
    </row>
    <row r="16" customFormat="false" ht="15" hidden="false" customHeight="false" outlineLevel="0" collapsed="false">
      <c r="A16" s="2" t="s">
        <v>118</v>
      </c>
      <c r="B16" s="3" t="n">
        <v>45779</v>
      </c>
      <c r="C16" s="3" t="n">
        <v>46143</v>
      </c>
      <c r="D16" s="2" t="s">
        <v>19</v>
      </c>
      <c r="E16" s="2" t="s">
        <v>119</v>
      </c>
      <c r="F16" s="4" t="s">
        <v>120</v>
      </c>
      <c r="G16" s="4" t="s">
        <v>121</v>
      </c>
      <c r="H16" s="4" t="s">
        <v>122</v>
      </c>
      <c r="I16" s="2" t="s">
        <v>123</v>
      </c>
      <c r="J16" s="5" t="n">
        <v>75000</v>
      </c>
      <c r="K16" s="5" t="n">
        <v>1350</v>
      </c>
      <c r="L16" s="5" t="n">
        <v>50</v>
      </c>
      <c r="M16" s="5" t="n">
        <v>33.75</v>
      </c>
      <c r="N16" s="6" t="n">
        <f aca="false">K16+L16+M16</f>
        <v>1433.75</v>
      </c>
      <c r="O16" s="2" t="s">
        <v>124</v>
      </c>
      <c r="P16" s="4" t="s">
        <v>53</v>
      </c>
      <c r="Q16" s="4" t="s">
        <v>36</v>
      </c>
      <c r="R16" s="4" t="s">
        <v>125</v>
      </c>
    </row>
  </sheetData>
  <autoFilter ref="A1:R16"/>
  <dataValidations count="3">
    <dataValidation allowBlank="true" error="Selezionare uno stato valido" errorStyle="stop" errorTitle="Stato non valido" operator="between" showDropDown="false" showErrorMessage="false" showInputMessage="false" sqref="D2:D1000" type="list">
      <formula1>"Attiva,Scaduta,Annullata,In Rinnovo,Escussa"</formula1>
      <formula2>0</formula2>
    </dataValidation>
    <dataValidation allowBlank="true" errorStyle="stop" operator="between" showDropDown="false" showErrorMessage="false" showInputMessage="false" sqref="E2:E1000" type="list">
      <formula1>"Provvisoria,Definitiva,Anticipazione,Svincolo Progressivo,Rata di Saldo,Commerciale,Immobiliare"</formula1>
      <formula2>0</formula2>
    </dataValidation>
    <dataValidation allowBlank="true" errorStyle="stop" operator="between" showDropDown="false" showErrorMessage="false" showInputMessage="false" sqref="O2:O1000" type="list">
      <formula1>"Pagato,In Attesa,Scaduto"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42" hidden="false" customHeight="true" outlineLevel="0" collapsed="false">
      <c r="A1" s="12" t="s">
        <v>126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3" t="s">
        <v>127</v>
      </c>
      <c r="B2" s="13"/>
      <c r="C2" s="13"/>
      <c r="D2" s="13"/>
      <c r="E2" s="13"/>
      <c r="F2" s="13"/>
      <c r="G2" s="13"/>
      <c r="H2" s="13"/>
    </row>
    <row r="4" customFormat="false" ht="15" hidden="false" customHeight="false" outlineLevel="0" collapsed="false">
      <c r="A4" s="14" t="s">
        <v>128</v>
      </c>
      <c r="B4" s="14"/>
      <c r="C4" s="14" t="s">
        <v>129</v>
      </c>
      <c r="D4" s="14"/>
      <c r="E4" s="14" t="s">
        <v>130</v>
      </c>
      <c r="F4" s="14"/>
      <c r="G4" s="14" t="s">
        <v>131</v>
      </c>
      <c r="H4" s="14"/>
    </row>
    <row r="5" customFormat="false" ht="31.5" hidden="false" customHeight="true" outlineLevel="0" collapsed="false">
      <c r="A5" s="15" t="n">
        <f aca="false">COUNTIF('Registro Polizze'!D2:D16,"Attiva")</f>
        <v>11</v>
      </c>
      <c r="B5" s="15"/>
      <c r="C5" s="16" t="n">
        <f aca="false">SUMIF('Registro Polizze'!D2:D16,"Attiva",'Registro Polizze'!J2:J16)</f>
        <v>3015000</v>
      </c>
      <c r="D5" s="16"/>
      <c r="E5" s="17" t="n">
        <f aca="false">SUM('Registro Polizze'!K2:K16)</f>
        <v>69420</v>
      </c>
      <c r="F5" s="17"/>
      <c r="G5" s="17" t="n">
        <f aca="false">SUM('Registro Polizze'!N2:N16)</f>
        <v>71905.5</v>
      </c>
      <c r="H5" s="17"/>
    </row>
    <row r="8" customFormat="false" ht="17.35" hidden="false" customHeight="false" outlineLevel="0" collapsed="false">
      <c r="A8" s="18" t="s">
        <v>132</v>
      </c>
      <c r="B8" s="18"/>
      <c r="C8" s="18"/>
      <c r="D8" s="18"/>
    </row>
    <row r="9" customFormat="false" ht="15" hidden="false" customHeight="false" outlineLevel="0" collapsed="false">
      <c r="A9" s="19" t="s">
        <v>4</v>
      </c>
      <c r="B9" s="19" t="s">
        <v>133</v>
      </c>
      <c r="C9" s="19" t="s">
        <v>9</v>
      </c>
      <c r="D9" s="19" t="s">
        <v>134</v>
      </c>
    </row>
    <row r="10" customFormat="false" ht="15" hidden="false" customHeight="false" outlineLevel="0" collapsed="false">
      <c r="A10" s="20" t="s">
        <v>30</v>
      </c>
      <c r="B10" s="21" t="n">
        <f aca="false">COUNTIF('Registro Polizze'!E2:E16,A10)</f>
        <v>4</v>
      </c>
      <c r="C10" s="22" t="n">
        <f aca="false">SUMIF('Registro Polizze'!E2:E16,A10,'Registro Polizze'!J2:J16)</f>
        <v>140000</v>
      </c>
      <c r="D10" s="22" t="n">
        <f aca="false">SUMIF('Registro Polizze'!E2:E16,A10,'Registro Polizze'!K2:K16)</f>
        <v>1680</v>
      </c>
    </row>
    <row r="11" customFormat="false" ht="15" hidden="false" customHeight="false" outlineLevel="0" collapsed="false">
      <c r="A11" s="9" t="s">
        <v>20</v>
      </c>
      <c r="B11" s="7" t="n">
        <f aca="false">COUNTIF('Registro Polizze'!E2:E16,A11)</f>
        <v>6</v>
      </c>
      <c r="C11" s="10" t="n">
        <f aca="false">SUMIF('Registro Polizze'!E2:E16,A11,'Registro Polizze'!J2:J16)</f>
        <v>1730000</v>
      </c>
      <c r="D11" s="10" t="n">
        <f aca="false">SUMIF('Registro Polizze'!E2:E16,A11,'Registro Polizze'!K2:K16)</f>
        <v>38970</v>
      </c>
    </row>
    <row r="12" customFormat="false" ht="15" hidden="false" customHeight="false" outlineLevel="0" collapsed="false">
      <c r="A12" s="20" t="s">
        <v>47</v>
      </c>
      <c r="B12" s="21" t="n">
        <f aca="false">COUNTIF('Registro Polizze'!E2:E16,A12)</f>
        <v>1</v>
      </c>
      <c r="C12" s="22" t="n">
        <f aca="false">SUMIF('Registro Polizze'!E2:E16,A12,'Registro Polizze'!J2:J16)</f>
        <v>200000</v>
      </c>
      <c r="D12" s="22" t="n">
        <f aca="false">SUMIF('Registro Polizze'!E2:E16,A12,'Registro Polizze'!K2:K16)</f>
        <v>3600</v>
      </c>
    </row>
    <row r="13" customFormat="false" ht="15" hidden="false" customHeight="false" outlineLevel="0" collapsed="false">
      <c r="A13" s="9" t="s">
        <v>87</v>
      </c>
      <c r="B13" s="7" t="n">
        <f aca="false">COUNTIF('Registro Polizze'!E2:E16,A13)</f>
        <v>1</v>
      </c>
      <c r="C13" s="10" t="n">
        <f aca="false">SUMIF('Registro Polizze'!E2:E16,A13,'Registro Polizze'!J2:J16)</f>
        <v>280000</v>
      </c>
      <c r="D13" s="10" t="n">
        <f aca="false">SUMIF('Registro Polizze'!E2:E16,A13,'Registro Polizze'!K2:K16)</f>
        <v>6720</v>
      </c>
    </row>
    <row r="14" customFormat="false" ht="15" hidden="false" customHeight="false" outlineLevel="0" collapsed="false">
      <c r="A14" s="20" t="s">
        <v>119</v>
      </c>
      <c r="B14" s="21" t="n">
        <f aca="false">COUNTIF('Registro Polizze'!E2:E16,A14)</f>
        <v>1</v>
      </c>
      <c r="C14" s="22" t="n">
        <f aca="false">SUMIF('Registro Polizze'!E2:E16,A14,'Registro Polizze'!J2:J16)</f>
        <v>75000</v>
      </c>
      <c r="D14" s="22" t="n">
        <f aca="false">SUMIF('Registro Polizze'!E2:E16,A14,'Registro Polizze'!K2:K16)</f>
        <v>1350</v>
      </c>
    </row>
    <row r="15" customFormat="false" ht="15" hidden="false" customHeight="false" outlineLevel="0" collapsed="false">
      <c r="A15" s="9" t="s">
        <v>94</v>
      </c>
      <c r="B15" s="7" t="n">
        <f aca="false">COUNTIF('Registro Polizze'!E2:E16,A15)</f>
        <v>1</v>
      </c>
      <c r="C15" s="10" t="n">
        <f aca="false">SUMIF('Registro Polizze'!E2:E16,A15,'Registro Polizze'!J2:J16)</f>
        <v>150000</v>
      </c>
      <c r="D15" s="10" t="n">
        <f aca="false">SUMIF('Registro Polizze'!E2:E16,A15,'Registro Polizze'!K2:K16)</f>
        <v>2700</v>
      </c>
    </row>
    <row r="16" customFormat="false" ht="15" hidden="false" customHeight="false" outlineLevel="0" collapsed="false">
      <c r="A16" s="20" t="s">
        <v>113</v>
      </c>
      <c r="B16" s="21" t="n">
        <f aca="false">COUNTIF('Registro Polizze'!E2:E16,A16)</f>
        <v>1</v>
      </c>
      <c r="C16" s="22" t="n">
        <f aca="false">SUMIF('Registro Polizze'!E2:E16,A16,'Registro Polizze'!J2:J16)</f>
        <v>1200000</v>
      </c>
      <c r="D16" s="22" t="n">
        <f aca="false">SUMIF('Registro Polizze'!E2:E16,A16,'Registro Polizze'!K2:K16)</f>
        <v>14400</v>
      </c>
    </row>
    <row r="17" customFormat="false" ht="15" hidden="false" customHeight="false" outlineLevel="0" collapsed="false">
      <c r="A17" s="23" t="s">
        <v>135</v>
      </c>
      <c r="B17" s="24" t="n">
        <f aca="false">SUM(B10:B16)</f>
        <v>15</v>
      </c>
      <c r="C17" s="25" t="n">
        <f aca="false">SUM(C10:C16)</f>
        <v>3775000</v>
      </c>
      <c r="D17" s="25" t="n">
        <f aca="false">SUM(D10:D16)</f>
        <v>69420</v>
      </c>
    </row>
    <row r="20" customFormat="false" ht="17.35" hidden="false" customHeight="false" outlineLevel="0" collapsed="false">
      <c r="A20" s="18" t="s">
        <v>136</v>
      </c>
      <c r="B20" s="18"/>
      <c r="C20" s="18"/>
      <c r="D20" s="18"/>
    </row>
    <row r="21" customFormat="false" ht="15" hidden="false" customHeight="false" outlineLevel="0" collapsed="false">
      <c r="A21" s="19" t="s">
        <v>3</v>
      </c>
      <c r="B21" s="19" t="s">
        <v>133</v>
      </c>
      <c r="C21" s="19" t="s">
        <v>9</v>
      </c>
      <c r="D21" s="19" t="s">
        <v>134</v>
      </c>
    </row>
    <row r="22" customFormat="false" ht="15" hidden="false" customHeight="false" outlineLevel="0" collapsed="false">
      <c r="A22" s="20" t="s">
        <v>19</v>
      </c>
      <c r="B22" s="21" t="n">
        <f aca="false">COUNTIF('Registro Polizze'!D2:D16,A22)</f>
        <v>11</v>
      </c>
      <c r="C22" s="22" t="n">
        <f aca="false">SUMIF('Registro Polizze'!D2:D16,A22,'Registro Polizze'!J2:J16)</f>
        <v>3015000</v>
      </c>
      <c r="D22" s="22" t="n">
        <f aca="false">SUMIF('Registro Polizze'!D2:D16,A22,'Registro Polizze'!K2:K16)</f>
        <v>51900</v>
      </c>
    </row>
    <row r="23" customFormat="false" ht="15" hidden="false" customHeight="false" outlineLevel="0" collapsed="false">
      <c r="A23" s="9" t="s">
        <v>68</v>
      </c>
      <c r="B23" s="7" t="n">
        <f aca="false">COUNTIF('Registro Polizze'!D2:D16,A23)</f>
        <v>3</v>
      </c>
      <c r="C23" s="10" t="n">
        <f aca="false">SUMIF('Registro Polizze'!D2:D16,A23,'Registro Polizze'!J2:J16)</f>
        <v>240000</v>
      </c>
      <c r="D23" s="10" t="n">
        <f aca="false">SUMIF('Registro Polizze'!D2:D16,A23,'Registro Polizze'!K2:K16)</f>
        <v>5040</v>
      </c>
    </row>
    <row r="24" customFormat="false" ht="15" hidden="false" customHeight="false" outlineLevel="0" collapsed="false">
      <c r="A24" s="20" t="s">
        <v>137</v>
      </c>
      <c r="B24" s="21" t="n">
        <f aca="false">COUNTIF('Registro Polizze'!D2:D16,A24)</f>
        <v>0</v>
      </c>
      <c r="C24" s="22" t="n">
        <f aca="false">SUMIF('Registro Polizze'!D2:D16,A24,'Registro Polizze'!J2:J16)</f>
        <v>0</v>
      </c>
      <c r="D24" s="22" t="n">
        <f aca="false">SUMIF('Registro Polizze'!D2:D16,A24,'Registro Polizze'!K2:K16)</f>
        <v>0</v>
      </c>
    </row>
    <row r="25" customFormat="false" ht="15" hidden="false" customHeight="false" outlineLevel="0" collapsed="false">
      <c r="A25" s="9" t="s">
        <v>106</v>
      </c>
      <c r="B25" s="7" t="n">
        <f aca="false">COUNTIF('Registro Polizze'!D2:D16,A25)</f>
        <v>1</v>
      </c>
      <c r="C25" s="10" t="n">
        <f aca="false">SUMIF('Registro Polizze'!D2:D16,A25,'Registro Polizze'!J2:J16)</f>
        <v>520000</v>
      </c>
      <c r="D25" s="10" t="n">
        <f aca="false">SUMIF('Registro Polizze'!D2:D16,A25,'Registro Polizze'!K2:K16)</f>
        <v>12480</v>
      </c>
    </row>
    <row r="26" customFormat="false" ht="15" hidden="false" customHeight="false" outlineLevel="0" collapsed="false">
      <c r="A26" s="20" t="s">
        <v>138</v>
      </c>
      <c r="B26" s="21" t="n">
        <f aca="false">COUNTIF('Registro Polizze'!D2:D16,A26)</f>
        <v>0</v>
      </c>
      <c r="C26" s="22" t="n">
        <f aca="false">SUMIF('Registro Polizze'!D2:D16,A26,'Registro Polizze'!J2:J16)</f>
        <v>0</v>
      </c>
      <c r="D26" s="22" t="n">
        <f aca="false">SUMIF('Registro Polizze'!D2:D16,A26,'Registro Polizze'!K2:K16)</f>
        <v>0</v>
      </c>
    </row>
    <row r="27" customFormat="false" ht="15" hidden="false" customHeight="false" outlineLevel="0" collapsed="false">
      <c r="A27" s="23" t="s">
        <v>135</v>
      </c>
      <c r="B27" s="24" t="n">
        <f aca="false">SUM(B22:B26)</f>
        <v>15</v>
      </c>
      <c r="C27" s="25" t="n">
        <f aca="false">SUM(C22:C26)</f>
        <v>3775000</v>
      </c>
      <c r="D27" s="25" t="n">
        <f aca="false">SUM(D22:D26)</f>
        <v>69420</v>
      </c>
    </row>
    <row r="30" customFormat="false" ht="17.35" hidden="false" customHeight="false" outlineLevel="0" collapsed="false">
      <c r="A30" s="18" t="s">
        <v>139</v>
      </c>
      <c r="B30" s="18"/>
      <c r="C30" s="18"/>
      <c r="D30" s="18"/>
    </row>
    <row r="31" customFormat="false" ht="15" hidden="false" customHeight="false" outlineLevel="0" collapsed="false">
      <c r="A31" s="19" t="s">
        <v>14</v>
      </c>
      <c r="B31" s="19" t="s">
        <v>133</v>
      </c>
      <c r="C31" s="19" t="s">
        <v>13</v>
      </c>
      <c r="D31" s="19" t="s">
        <v>140</v>
      </c>
    </row>
    <row r="32" customFormat="false" ht="15" hidden="false" customHeight="false" outlineLevel="0" collapsed="false">
      <c r="A32" s="20" t="s">
        <v>25</v>
      </c>
      <c r="B32" s="21" t="n">
        <f aca="false">COUNTIF('Registro Polizze'!O2:O16,A32)</f>
        <v>11</v>
      </c>
      <c r="C32" s="22" t="n">
        <f aca="false">SUMIF('Registro Polizze'!O2:O16,A32,'Registro Polizze'!N2:N16)</f>
        <v>51072.25</v>
      </c>
      <c r="D32" s="26" t="n">
        <f aca="false">IFERROR(C32/C35,0)</f>
        <v>0.710269033662237</v>
      </c>
    </row>
    <row r="33" customFormat="false" ht="15" hidden="false" customHeight="false" outlineLevel="0" collapsed="false">
      <c r="A33" s="9" t="s">
        <v>52</v>
      </c>
      <c r="B33" s="7" t="n">
        <f aca="false">COUNTIF('Registro Polizze'!O2:O16,A33)</f>
        <v>3</v>
      </c>
      <c r="C33" s="10" t="n">
        <f aca="false">SUMIF('Registro Polizze'!O2:O16,A33,'Registro Polizze'!N2:N16)</f>
        <v>19399.5</v>
      </c>
      <c r="D33" s="27" t="n">
        <f aca="false">IFERROR(C33/C35,0)</f>
        <v>0.269791601476939</v>
      </c>
    </row>
    <row r="34" customFormat="false" ht="15" hidden="false" customHeight="false" outlineLevel="0" collapsed="false">
      <c r="A34" s="20" t="s">
        <v>124</v>
      </c>
      <c r="B34" s="21" t="n">
        <f aca="false">COUNTIF('Registro Polizze'!O2:O16,A34)</f>
        <v>1</v>
      </c>
      <c r="C34" s="22" t="n">
        <f aca="false">SUMIF('Registro Polizze'!O2:O16,A34,'Registro Polizze'!N2:N16)</f>
        <v>1433.75</v>
      </c>
      <c r="D34" s="26" t="n">
        <f aca="false">IFERROR(C34/C35,0)</f>
        <v>0.0199393648608243</v>
      </c>
    </row>
    <row r="35" customFormat="false" ht="15" hidden="false" customHeight="false" outlineLevel="0" collapsed="false">
      <c r="A35" s="23" t="s">
        <v>135</v>
      </c>
      <c r="B35" s="24" t="n">
        <f aca="false">SUM(B32:B34)</f>
        <v>15</v>
      </c>
      <c r="C35" s="25" t="n">
        <f aca="false">SUM(C32:C34)</f>
        <v>71905.5</v>
      </c>
      <c r="D35" s="28" t="n">
        <f aca="false">SUM(D32:D34)</f>
        <v>1</v>
      </c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D8"/>
    <mergeCell ref="A20:D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2026-03-01T03:50:17Z</dcterms:created>
  <dc:creator>openpyxl</dc:creator>
  <dc:description/>
  <dc:language>it-IT</dc:language>
  <cp:lastModifiedBy/>
  <dcterms:modified xsi:type="dcterms:W3CDTF">2026-03-01T03:50:17Z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